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eLivro" hidePivotFieldList="1"/>
  <mc:AlternateContent xmlns:mc="http://schemas.openxmlformats.org/markup-compatibility/2006">
    <mc:Choice Requires="x15">
      <x15ac:absPath xmlns:x15ac="http://schemas.microsoft.com/office/spreadsheetml/2010/11/ac" url="https://uapt33090-my.sharepoint.com/personal/jm_silva_ua_pt/Documents/PECI 24-25/Transition/"/>
    </mc:Choice>
  </mc:AlternateContent>
  <xr:revisionPtr revIDLastSave="1716" documentId="8_{EC9D1C85-9BFD-4EB4-BBF0-E8ACBEEAB927}" xr6:coauthVersionLast="47" xr6:coauthVersionMax="47" xr10:uidLastSave="{1A8CB246-3FED-48A9-B54B-5B199EC1B2DE}"/>
  <bookViews>
    <workbookView xWindow="28680" yWindow="-120" windowWidth="20730" windowHeight="11040" firstSheet="2" activeTab="5" xr2:uid="{00000000-000D-0000-FFFF-FFFF00000000}"/>
  </bookViews>
  <sheets>
    <sheet name="0º-UsabilityConfig" sheetId="12" r:id="rId1"/>
    <sheet name="1º-ObserverGuide" sheetId="8" r:id="rId2"/>
    <sheet name="2º-Usability Test" sheetId="9" r:id="rId3"/>
    <sheet name="2º-ObserverScript" sheetId="10" r:id="rId4"/>
    <sheet name="3º-Post Task Questionnaire" sheetId="11" r:id="rId5"/>
    <sheet name="4º-Stats" sheetId="15" r:id="rId6"/>
    <sheet name="4º-Demo" sheetId="17" r:id="rId7"/>
  </sheets>
  <definedNames>
    <definedName name="_xlcn.WorksheetConnection_Modelo_TestesUsabilidade.xlsmtbl_observerscript_analysis" hidden="1">tbl_observerscript_analysis[]</definedName>
    <definedName name="_xlcn.WorksheetConnection_Modelo_TestesUsabilidade.xlsmtbl_posttalk_info" hidden="1">tbl_posttalk_info[]</definedName>
    <definedName name="_xlcn.WorksheetConnection_Modelo_TestesUsabilidade.xlsmtbl_posttalk_score" hidden="1">tbl_posttalk_score[]</definedName>
    <definedName name="_xlcn.WorksheetConnection_Modelo_TestesUsabilidade.xlsmtbl_usabilitytest" hidden="1">tbl_usabilitytest[]</definedName>
    <definedName name="_xleta.GETPIVOTDATA" hidden="1" xlm="1">#NAME?</definedName>
    <definedName name="TasksNumber">'0º-UsabilityConfig'!$B$4</definedName>
    <definedName name="UsersNumber">'0º-UsabilityConfig'!$B$10</definedName>
  </definedNames>
  <calcPr calcId="191028"/>
  <pivotCaches>
    <pivotCache cacheId="49" r:id="rId8"/>
    <pivotCache cacheId="55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usabilitytest" name="tbl_usabilitytest" connection="WorksheetConnection_Modelo_TestesUsabilidade.xlsm!tbl_usabilitytest"/>
          <x15:modelTable id="tbl_posttalk_score" name="tbl_posttalk_score" connection="WorksheetConnection_Modelo_TestesUsabilidade.xlsm!tbl_posttalk_score"/>
          <x15:modelTable id="tbl_posttalk_info" name="tbl_posttalk_info" connection="WorksheetConnection_Modelo_TestesUsabilidade.xlsm!tbl_posttalk_info"/>
          <x15:modelTable id="tbl_observerscript_analysis" name="tbl_observerscript_analysis" connection="WorksheetConnection_Modelo_TestesUsabilidade.xlsm!tbl_observerscript_analysis"/>
        </x15:modelTables>
        <x15:extLst>
          <ext xmlns:x16="http://schemas.microsoft.com/office/spreadsheetml/2014/11/main" uri="{9835A34E-60A6-4A7C-AAB8-D5F71C897F49}">
            <x16:modelTimeGroupings>
              <x16:modelTimeGrouping tableName="tbl_observerscript_analysis" columnName="Time to completion" columnId="Time to completion">
                <x16:calculatedTimeColumn columnName="Time to completion (Hora)" columnId="Time to completion (Hora)" contentType="hours" isSelected="1"/>
                <x16:calculatedTimeColumn columnName="Time to completion (Minuto)" columnId="Time to completion (Minuto)" contentType="minute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7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500100-2E09-4704-8FFA-C1DD74C55431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F4E6F124-472E-4B30-BB6A-DDE9C21DF8D4}" name="WorksheetConnection_Modelo_TestesUsabilidade.xlsm!tbl_observerscript_analysis" type="102" refreshedVersion="8" minRefreshableVersion="5">
    <extLst>
      <ext xmlns:x15="http://schemas.microsoft.com/office/spreadsheetml/2010/11/main" uri="{DE250136-89BD-433C-8126-D09CA5730AF9}">
        <x15:connection id="tbl_observerscript_analysis">
          <x15:rangePr sourceName="_xlcn.WorksheetConnection_Modelo_TestesUsabilidade.xlsmtbl_observerscript_analysis"/>
        </x15:connection>
      </ext>
    </extLst>
  </connection>
  <connection id="3" xr16:uid="{F0026FCD-3045-44C3-A0DB-A8FE05F94F39}" name="WorksheetConnection_Modelo_TestesUsabilidade.xlsm!tbl_posttalk_info" type="102" refreshedVersion="8" minRefreshableVersion="5">
    <extLst>
      <ext xmlns:x15="http://schemas.microsoft.com/office/spreadsheetml/2010/11/main" uri="{DE250136-89BD-433C-8126-D09CA5730AF9}">
        <x15:connection id="tbl_posttalk_info">
          <x15:rangePr sourceName="_xlcn.WorksheetConnection_Modelo_TestesUsabilidade.xlsmtbl_posttalk_info"/>
        </x15:connection>
      </ext>
    </extLst>
  </connection>
  <connection id="4" xr16:uid="{3C674987-2B19-45C1-BAF2-A319CB74683B}" name="WorksheetConnection_Modelo_TestesUsabilidade.xlsm!tbl_posttalk_score" type="102" refreshedVersion="8" minRefreshableVersion="5">
    <extLst>
      <ext xmlns:x15="http://schemas.microsoft.com/office/spreadsheetml/2010/11/main" uri="{DE250136-89BD-433C-8126-D09CA5730AF9}">
        <x15:connection id="tbl_posttalk_score">
          <x15:rangePr sourceName="_xlcn.WorksheetConnection_Modelo_TestesUsabilidade.xlsmtbl_posttalk_score"/>
        </x15:connection>
      </ext>
    </extLst>
  </connection>
  <connection id="5" xr16:uid="{A3FC5984-CD61-4C39-9714-E96857E6C4CA}" name="WorksheetConnection_Modelo_TestesUsabilidade.xlsm!tbl_usabilitytest" type="102" refreshedVersion="8" minRefreshableVersion="5">
    <extLst>
      <ext xmlns:x15="http://schemas.microsoft.com/office/spreadsheetml/2010/11/main" uri="{DE250136-89BD-433C-8126-D09CA5730AF9}">
        <x15:connection id="tbl_usabilitytest" autoDelete="1">
          <x15:rangePr sourceName="_xlcn.WorksheetConnection_Modelo_TestesUsabilidade.xlsmtbl_usabilitytest"/>
        </x15:connection>
      </ext>
    </extLst>
  </connection>
</connections>
</file>

<file path=xl/sharedStrings.xml><?xml version="1.0" encoding="utf-8"?>
<sst xmlns="http://schemas.openxmlformats.org/spreadsheetml/2006/main" count="74" uniqueCount="45">
  <si>
    <t>Configs</t>
  </si>
  <si>
    <t>Number of ObserverGuide Steps (ns):</t>
  </si>
  <si>
    <t>Number of Tasks (nt):</t>
  </si>
  <si>
    <t>Dados (não editar)</t>
  </si>
  <si>
    <t xml:space="preserve">Atual Numero Users: </t>
  </si>
  <si>
    <t>Format</t>
  </si>
  <si>
    <t>integer</t>
  </si>
  <si>
    <t>0(yes) / 1(no)</t>
  </si>
  <si>
    <t xml:space="preserve">StepID </t>
  </si>
  <si>
    <t>Completion</t>
  </si>
  <si>
    <t>string</t>
  </si>
  <si>
    <t>1(Very difficult) to 5(Very easy)</t>
  </si>
  <si>
    <t>UserID</t>
  </si>
  <si>
    <t>TaskID</t>
  </si>
  <si>
    <t xml:space="preserve">Answer </t>
  </si>
  <si>
    <t>Difficulty</t>
  </si>
  <si>
    <t>hh:mm:ss</t>
  </si>
  <si>
    <t>0(no)/1(slightly)/2(lost)</t>
  </si>
  <si>
    <t>in 0 "Needed help" case</t>
  </si>
  <si>
    <t xml:space="preserve"> 1(Very difficult) to 5(Very Easy)</t>
  </si>
  <si>
    <t>Observations</t>
  </si>
  <si>
    <t>Is Correct</t>
  </si>
  <si>
    <t>Time to completion</t>
  </si>
  <si>
    <t>Was lost</t>
  </si>
  <si>
    <t>Needed help</t>
  </si>
  <si>
    <t>wich help</t>
  </si>
  <si>
    <t>observed dificulty</t>
  </si>
  <si>
    <t>0(male)/1(female)/2(NA)</t>
  </si>
  <si>
    <t>0(None)/1(Some)/2(A lot)</t>
  </si>
  <si>
    <t>1(Totally agree) to 5 (Totally desagree) or NA</t>
  </si>
  <si>
    <t>Comments</t>
  </si>
  <si>
    <t>Gender</t>
  </si>
  <si>
    <t>Age</t>
  </si>
  <si>
    <t>Profession</t>
  </si>
  <si>
    <t>Previous experience</t>
  </si>
  <si>
    <t>TaskScore</t>
  </si>
  <si>
    <t>Paridade</t>
  </si>
  <si>
    <t>Task(User)</t>
  </si>
  <si>
    <t>Contagem de Difficulty</t>
  </si>
  <si>
    <t>Rótulos de Linha</t>
  </si>
  <si>
    <t>Soma de TaskScore</t>
  </si>
  <si>
    <t>Total Geral</t>
  </si>
  <si>
    <t>SUS:</t>
  </si>
  <si>
    <t>TaskScoreAvg</t>
  </si>
  <si>
    <t>(em branco)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</si>
</sst>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£&quot;* #,##0.00_-;\-&quot;£&quot;* #,##0.00_-;_-&quot;£&quot;* &quot;-&quot;??_-;_-@_-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1" fillId="0" borderId="0" xfId="0" applyFont="1" applyAlignment="1">
      <alignment readingOrder="1"/>
    </xf>
    <xf numFmtId="0" fontId="0" fillId="0" borderId="0" xfId="0" pivotButton="1"/>
    <xf numFmtId="0" fontId="0" fillId="0" borderId="0" xfId="0" applyAlignment="1">
      <alignment horizontal="left"/>
    </xf>
    <xf numFmtId="45" fontId="0" fillId="0" borderId="0" xfId="1" applyNumberFormat="1" applyFont="1"/>
    <xf numFmtId="0" fontId="3" fillId="0" borderId="0" xfId="0" applyFont="1" applyAlignment="1">
      <alignment horizontal="center" wrapText="1"/>
    </xf>
    <xf numFmtId="0" fontId="3" fillId="2" borderId="1" xfId="0" applyFont="1" applyFill="1" applyBorder="1" applyAlignment="1">
      <alignment horizontal="center" wrapText="1"/>
    </xf>
    <xf numFmtId="45" fontId="1" fillId="0" borderId="0" xfId="1" applyNumberFormat="1" applyFont="1" applyAlignment="1">
      <alignment readingOrder="1"/>
    </xf>
    <xf numFmtId="45" fontId="1" fillId="0" borderId="0" xfId="0" applyNumberFormat="1" applyFont="1" applyAlignment="1">
      <alignment readingOrder="1"/>
    </xf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</cellXfs>
  <cellStyles count="2">
    <cellStyle name="Moeda" xfId="1" builtinId="4"/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8" formatCode="mm:ss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</xdr:row>
          <xdr:rowOff>0</xdr:rowOff>
        </xdr:from>
        <xdr:to>
          <xdr:col>4</xdr:col>
          <xdr:colOff>967740</xdr:colOff>
          <xdr:row>4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906780</xdr:colOff>
          <xdr:row>6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0</xdr:rowOff>
        </xdr:from>
        <xdr:to>
          <xdr:col>9</xdr:col>
          <xdr:colOff>360045</xdr:colOff>
          <xdr:row>3</xdr:row>
          <xdr:rowOff>91440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STATS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" refreshedDate="45797.535332870371" createdVersion="8" refreshedVersion="8" minRefreshableVersion="3" recordCount="1" xr:uid="{10A05DA8-BB04-4DCC-94ED-8846EA0955DF}">
  <cacheSource type="worksheet">
    <worksheetSource name="tbl_posttalk_score"/>
  </cacheSource>
  <cacheFields count="4">
    <cacheField name="UserID" numFmtId="0">
      <sharedItems containsNonDate="0" containsString="0" containsBlank="1" containsNumber="1" containsInteger="1" minValue="0" maxValue="6" count="6">
        <m/>
        <n v="1" u="1"/>
        <n v="6" u="1"/>
        <n v="0" u="1"/>
        <n v="2" u="1"/>
        <n v="3" u="1"/>
      </sharedItems>
    </cacheField>
    <cacheField name="TaskID" numFmtId="0">
      <sharedItems containsNonDate="0" containsString="0" containsBlank="1" containsNumber="1" containsInteger="1" minValue="0" maxValue="10" count="12">
        <m/>
        <n v="1" u="1"/>
        <n v="2" u="1"/>
        <n v="3" u="1"/>
        <n v="4" u="1"/>
        <n v="5" u="1"/>
        <n v="6" u="1"/>
        <n v="7" u="1"/>
        <n v="8" u="1"/>
        <n v="9" u="1"/>
        <n v="10" u="1"/>
        <n v="0" u="1"/>
      </sharedItems>
    </cacheField>
    <cacheField name="TaskScore" numFmtId="0">
      <sharedItems containsNonDate="0" containsString="0" containsBlank="1"/>
    </cacheField>
    <cacheField name="Paridade" numFmtId="0">
      <sharedItems containsNonDate="0" containsBlank="1" count="3">
        <m/>
        <s v="Ímpar" u="1"/>
        <s v="Par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is" refreshedDate="45797.535336226851" backgroundQuery="1" createdVersion="8" refreshedVersion="8" minRefreshableVersion="3" recordCount="0" supportSubquery="1" supportAdvancedDrill="1" xr:uid="{3EA0D441-14F6-46C3-87C1-1FB63337807F}">
  <cacheSource type="external" connectionId="1"/>
  <cacheFields count="3">
    <cacheField name="[tbl_usabilitytest].[UserID].[UserID]" caption="UserID" numFmtId="0" hierarchy="21" level="1">
      <sharedItems containsSemiMixedTypes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tbl_usabilitytest].[UserID].&amp;[1]"/>
          </x15:cachedUniqueNames>
        </ext>
      </extLst>
    </cacheField>
    <cacheField name="[tbl_usabilitytest].[TaskID].[TaskID]" caption="TaskID" numFmtId="0" hierarchy="22" level="1">
      <sharedItems containsSemiMixedTypes="0" containsString="0" containsNumber="1" containsInteger="1" minValue="1" maxValue="5" count="5">
        <n v="1"/>
        <n v="2"/>
        <n v="3"/>
        <n v="4"/>
        <n v="5"/>
      </sharedItems>
      <extLst>
        <ext xmlns:x15="http://schemas.microsoft.com/office/spreadsheetml/2010/11/main" uri="{4F2E5C28-24EA-4eb8-9CBF-B6C8F9C3D259}">
          <x15:cachedUniqueNames>
            <x15:cachedUniqueName index="0" name="[tbl_usabilitytest].[TaskID].&amp;[1]"/>
            <x15:cachedUniqueName index="1" name="[tbl_usabilitytest].[TaskID].&amp;[2]"/>
            <x15:cachedUniqueName index="2" name="[tbl_usabilitytest].[TaskID].&amp;[3]"/>
            <x15:cachedUniqueName index="3" name="[tbl_usabilitytest].[TaskID].&amp;[4]"/>
            <x15:cachedUniqueName index="4" name="[tbl_usabilitytest].[TaskID].&amp;[5]"/>
          </x15:cachedUniqueNames>
        </ext>
      </extLst>
    </cacheField>
    <cacheField name="[Measures].[Contagem de Difficulty]" caption="Contagem de Difficulty" numFmtId="0" hierarchy="34" level="32767"/>
  </cacheFields>
  <cacheHierarchies count="35">
    <cacheHierarchy uniqueName="[tbl_observerscript_analysis].[UserID]" caption="UserID" attribute="1" defaultMemberUniqueName="[tbl_observerscript_analysis].[UserID].[All]" allUniqueName="[tbl_observerscript_analysis].[UserID].[All]" dimensionUniqueName="[tbl_observerscript_analysis]" displayFolder="" count="0" memberValueDatatype="130" unbalanced="0"/>
    <cacheHierarchy uniqueName="[tbl_observerscript_analysis].[TaskID]" caption="TaskID" attribute="1" defaultMemberUniqueName="[tbl_observerscript_analysis].[TaskID].[All]" allUniqueName="[tbl_observerscript_analysis].[TaskID].[All]" dimensionUniqueName="[tbl_observerscript_analysis]" displayFolder="" count="0" memberValueDatatype="130" unbalanced="0"/>
    <cacheHierarchy uniqueName="[tbl_observerscript_analysis].[Completion]" caption="Completion" attribute="1" defaultMemberUniqueName="[tbl_observerscript_analysis].[Completion].[All]" allUniqueName="[tbl_observerscript_analysis].[Completion].[All]" dimensionUniqueName="[tbl_observerscript_analysis]" displayFolder="" count="0" memberValueDatatype="130" unbalanced="0"/>
    <cacheHierarchy uniqueName="[tbl_observerscript_analysis].[Is Correct]" caption="Is Correct" attribute="1" defaultMemberUniqueName="[tbl_observerscript_analysis].[Is Correct].[All]" allUniqueName="[tbl_observerscript_analysis].[Is Correct].[All]" dimensionUniqueName="[tbl_observerscript_analysis]" displayFolder="" count="0" memberValueDatatype="130" unbalanced="0"/>
    <cacheHierarchy uniqueName="[tbl_observerscript_analysis].[Time to completion]" caption="Time to completion" attribute="1" defaultMemberUniqueName="[tbl_observerscript_analysis].[Time to completion].[All]" allUniqueName="[tbl_observerscript_analysis].[Time to completion].[All]" dimensionUniqueName="[tbl_observerscript_analysis]" displayFolder="" count="0" memberValueDatatype="130" unbalanced="0"/>
    <cacheHierarchy uniqueName="[tbl_observerscript_analysis].[Was lost]" caption="Was lost" attribute="1" defaultMemberUniqueName="[tbl_observerscript_analysis].[Was lost].[All]" allUniqueName="[tbl_observerscript_analysis].[Was lost].[All]" dimensionUniqueName="[tbl_observerscript_analysis]" displayFolder="" count="0" memberValueDatatype="130" unbalanced="0"/>
    <cacheHierarchy uniqueName="[tbl_observerscript_analysis].[Needed help]" caption="Needed help" attribute="1" defaultMemberUniqueName="[tbl_observerscript_analysis].[Needed help].[All]" allUniqueName="[tbl_observerscript_analysis].[Needed help].[All]" dimensionUniqueName="[tbl_observerscript_analysis]" displayFolder="" count="0" memberValueDatatype="130" unbalanced="0"/>
    <cacheHierarchy uniqueName="[tbl_observerscript_analysis].[wich help]" caption="wich help" attribute="1" defaultMemberUniqueName="[tbl_observerscript_analysis].[wich help].[All]" allUniqueName="[tbl_observerscript_analysis].[wich help].[All]" dimensionUniqueName="[tbl_observerscript_analysis]" displayFolder="" count="0" memberValueDatatype="130" unbalanced="0"/>
    <cacheHierarchy uniqueName="[tbl_observerscript_analysis].[observed dificulty]" caption="observed dificulty" attribute="1" defaultMemberUniqueName="[tbl_observerscript_analysis].[observed dificulty].[All]" allUniqueName="[tbl_observerscript_analysis].[observed dificulty].[All]" dimensionUniqueName="[tbl_observerscript_analysis]" displayFolder="" count="0" memberValueDatatype="130" unbalanced="0"/>
    <cacheHierarchy uniqueName="[tbl_observerscript_analysis].[Time to completion (Hora)]" caption="Time to completion (Hora)" attribute="1" defaultMemberUniqueName="[tbl_observerscript_analysis].[Time to completion (Hora)].[All]" allUniqueName="[tbl_observerscript_analysis].[Time to completion (Hora)].[All]" dimensionUniqueName="[tbl_observerscript_analysis]" displayFolder="" count="0" memberValueDatatype="130" unbalanced="0"/>
    <cacheHierarchy uniqueName="[tbl_observerscript_analysis].[Time to completion (Minuto)]" caption="Time to completion (Minuto)" attribute="1" defaultMemberUniqueName="[tbl_observerscript_analysis].[Time to completion (Minuto)].[All]" allUniqueName="[tbl_observerscript_analysis].[Time to completion (Minuto)].[All]" dimensionUniqueName="[tbl_observerscript_analysis]" displayFolder="" count="0" memberValueDatatype="130" unbalanced="0"/>
    <cacheHierarchy uniqueName="[tbl_posttalk_info].[UserID]" caption="UserID" attribute="1" defaultMemberUniqueName="[tbl_posttalk_info].[UserID].[All]" allUniqueName="[tbl_posttalk_info].[UserID].[All]" dimensionUniqueName="[tbl_posttalk_info]" displayFolder="" count="0" memberValueDatatype="20" unbalanced="0"/>
    <cacheHierarchy uniqueName="[tbl_posttalk_info].[Comments]" caption="Comments" attribute="1" defaultMemberUniqueName="[tbl_posttalk_info].[Comments].[All]" allUniqueName="[tbl_posttalk_info].[Comments].[All]" dimensionUniqueName="[tbl_posttalk_info]" displayFolder="" count="0" memberValueDatatype="130" unbalanced="0"/>
    <cacheHierarchy uniqueName="[tbl_posttalk_info].[Gender]" caption="Gender" attribute="1" defaultMemberUniqueName="[tbl_posttalk_info].[Gender].[All]" allUniqueName="[tbl_posttalk_info].[Gender].[All]" dimensionUniqueName="[tbl_posttalk_info]" displayFolder="" count="0" memberValueDatatype="20" unbalanced="0"/>
    <cacheHierarchy uniqueName="[tbl_posttalk_info].[Age]" caption="Age" attribute="1" defaultMemberUniqueName="[tbl_posttalk_info].[Age].[All]" allUniqueName="[tbl_posttalk_info].[Age].[All]" dimensionUniqueName="[tbl_posttalk_info]" displayFolder="" count="0" memberValueDatatype="20" unbalanced="0"/>
    <cacheHierarchy uniqueName="[tbl_posttalk_info].[Profession]" caption="Profession" attribute="1" defaultMemberUniqueName="[tbl_posttalk_info].[Profession].[All]" allUniqueName="[tbl_posttalk_info].[Profession].[All]" dimensionUniqueName="[tbl_posttalk_info]" displayFolder="" count="0" memberValueDatatype="130" unbalanced="0"/>
    <cacheHierarchy uniqueName="[tbl_posttalk_info].[Previous experience]" caption="Previous experience" attribute="1" defaultMemberUniqueName="[tbl_posttalk_info].[Previous experience].[All]" allUniqueName="[tbl_posttalk_info].[Previous experience].[All]" dimensionUniqueName="[tbl_posttalk_info]" displayFolder="" count="0" memberValueDatatype="20" unbalanced="0"/>
    <cacheHierarchy uniqueName="[tbl_posttalk_info].[Observations]" caption="Observations" attribute="1" defaultMemberUniqueName="[tbl_posttalk_info].[Observations].[All]" allUniqueName="[tbl_posttalk_info].[Observations].[All]" dimensionUniqueName="[tbl_posttalk_info]" displayFolder="" count="0" memberValueDatatype="130" unbalanced="0"/>
    <cacheHierarchy uniqueName="[tbl_posttalk_score].[UserID]" caption="UserID" attribute="1" defaultMemberUniqueName="[tbl_posttalk_score].[UserID].[All]" allUniqueName="[tbl_posttalk_score].[UserID].[All]" dimensionUniqueName="[tbl_posttalk_score]" displayFolder="" count="0" memberValueDatatype="20" unbalanced="0"/>
    <cacheHierarchy uniqueName="[tbl_posttalk_score].[TaskID]" caption="TaskID" attribute="1" defaultMemberUniqueName="[tbl_posttalk_score].[TaskID].[All]" allUniqueName="[tbl_posttalk_score].[TaskID].[All]" dimensionUniqueName="[tbl_posttalk_score]" displayFolder="" count="0" memberValueDatatype="20" unbalanced="0"/>
    <cacheHierarchy uniqueName="[tbl_posttalk_score].[Task score]" caption="Task score" attribute="1" defaultMemberUniqueName="[tbl_posttalk_score].[Task score].[All]" allUniqueName="[tbl_posttalk_score].[Task score].[All]" dimensionUniqueName="[tbl_posttalk_score]" displayFolder="" count="0" memberValueDatatype="20" unbalanced="0"/>
    <cacheHierarchy uniqueName="[tbl_usabilitytest].[UserID]" caption="UserID" attribute="1" defaultMemberUniqueName="[tbl_usabilitytest].[UserID].[All]" allUniqueName="[tbl_usabilitytest].[UserID].[All]" dimensionUniqueName="[tbl_usabilitytest]" displayFolder="" count="2" memberValueDatatype="20" unbalanced="0">
      <fieldsUsage count="2">
        <fieldUsage x="-1"/>
        <fieldUsage x="0"/>
      </fieldsUsage>
    </cacheHierarchy>
    <cacheHierarchy uniqueName="[tbl_usabilitytest].[TaskID]" caption="TaskID" attribute="1" defaultMemberUniqueName="[tbl_usabilitytest].[TaskID].[All]" allUniqueName="[tbl_usabilitytest].[TaskID].[All]" dimensionUniqueName="[tbl_usabilitytest]" displayFolder="" count="2" memberValueDatatype="20" unbalanced="0">
      <fieldsUsage count="2">
        <fieldUsage x="-1"/>
        <fieldUsage x="1"/>
      </fieldsUsage>
    </cacheHierarchy>
    <cacheHierarchy uniqueName="[tbl_usabilitytest].[Answer]" caption="Answer" attribute="1" defaultMemberUniqueName="[tbl_usabilitytest].[Answer].[All]" allUniqueName="[tbl_usabilitytest].[Answer].[All]" dimensionUniqueName="[tbl_usabilitytest]" displayFolder="" count="0" memberValueDatatype="130" unbalanced="0"/>
    <cacheHierarchy uniqueName="[tbl_usabilitytest].[Difficulty]" caption="Difficulty" attribute="1" defaultMemberUniqueName="[tbl_usabilitytest].[Difficulty].[All]" allUniqueName="[tbl_usabilitytest].[Difficulty].[All]" dimensionUniqueName="[tbl_usabilitytest]" displayFolder="" count="0" memberValueDatatype="130" unbalanced="0"/>
    <cacheHierarchy uniqueName="[Measures].[__XL_Count tbl_usabilitytest]" caption="__XL_Count tbl_usabilitytest" measure="1" displayFolder="" measureGroup="tbl_usabilitytest" count="0" hidden="1"/>
    <cacheHierarchy uniqueName="[Measures].[__XL_Count tbl_posttalk_score]" caption="__XL_Count tbl_posttalk_score" measure="1" displayFolder="" measureGroup="tbl_posttalk_score" count="0" hidden="1"/>
    <cacheHierarchy uniqueName="[Measures].[__XL_Count tbl_observerscript_analysis]" caption="__XL_Count tbl_observerscript_analysis" measure="1" displayFolder="" measureGroup="tbl_observerscript_analysis" count="0" hidden="1"/>
    <cacheHierarchy uniqueName="[Measures].[__XL_Count tbl_posttalk_info]" caption="__XL_Count tbl_posttalk_info" measure="1" displayFolder="" measureGroup="tbl_posttalk_info" count="0" hidden="1"/>
    <cacheHierarchy uniqueName="[Measures].[__No measures defined]" caption="__No measures defined" measure="1" displayFolder="" count="0" hidden="1"/>
    <cacheHierarchy uniqueName="[Measures].[Soma de Task score]" caption="Soma de Task score" measure="1" displayFolder="" measureGroup="tbl_posttalk_scor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Média de Task score]" caption="Média de Task score" measure="1" displayFolder="" measureGroup="tbl_posttalk_score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Comments]" caption="Contagem de Comments" measure="1" displayFolder="" measureGroup="tbl_posttalk_inf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ntagem de wich help]" caption="Contagem de wich help" measure="1" displayFolder="" measureGroup="tbl_observerscript_analysi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Difficulty]" caption="Contagem de Difficulty" measure="1" displayFolder="" measureGroup="tbl_usabilityte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</cacheHierarchies>
  <kpis count="0"/>
  <dimensions count="5">
    <dimension measure="1" name="Measures" uniqueName="[Measures]" caption="Measures"/>
    <dimension name="tbl_observerscript_analysis" uniqueName="[tbl_observerscript_analysis]" caption="tbl_observerscript_analysis"/>
    <dimension name="tbl_posttalk_info" uniqueName="[tbl_posttalk_info]" caption="tbl_posttalk_info"/>
    <dimension name="tbl_posttalk_score" uniqueName="[tbl_posttalk_score]" caption="tbl_posttalk_score"/>
    <dimension name="tbl_usabilitytest" uniqueName="[tbl_usabilitytest]" caption="tbl_usabilitytest"/>
  </dimensions>
  <measureGroups count="4">
    <measureGroup name="tbl_observerscript_analysis" caption="tbl_observerscript_analysis"/>
    <measureGroup name="tbl_posttalk_info" caption="tbl_posttalk_info"/>
    <measureGroup name="tbl_posttalk_score" caption="tbl_posttalk_score"/>
    <measureGroup name="tbl_usabilitytest" caption="tbl_usabilitytest"/>
  </measureGroups>
  <maps count="4">
    <map measureGroup="0" dimension="1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54297B-DFA6-473C-9EBF-320D5AE494C7}" name="Tabela Dinâmica7" cacheId="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H7" firstHeaderRow="0" firstDataRow="1" firstDataCol="1"/>
  <pivotFields count="4">
    <pivotField axis="axisRow" showAll="0">
      <items count="7">
        <item m="1" x="3"/>
        <item m="1" x="1"/>
        <item m="1" x="4"/>
        <item m="1" x="5"/>
        <item m="1" x="2"/>
        <item x="0"/>
        <item t="default"/>
      </items>
    </pivotField>
    <pivotField axis="axisRow" showAll="0">
      <items count="13">
        <item sd="0" m="1" x="11"/>
        <item sd="0" m="1" x="1"/>
        <item sd="0" m="1" x="2"/>
        <item sd="0" m="1" x="3"/>
        <item sd="0" m="1" x="4"/>
        <item sd="0" m="1" x="5"/>
        <item m="1" x="6"/>
        <item sd="0" m="1" x="7"/>
        <item sd="0" m="1" x="8"/>
        <item sd="0" m="1" x="9"/>
        <item sd="0" m="1" x="10"/>
        <item x="0"/>
        <item t="default"/>
      </items>
    </pivotField>
    <pivotField dataField="1" showAll="0"/>
    <pivotField axis="axisRow" showAll="0">
      <items count="4">
        <item sd="0" m="1" x="1"/>
        <item sd="0" m="1" x="2"/>
        <item x="0"/>
        <item t="default"/>
      </items>
    </pivotField>
  </pivotFields>
  <rowFields count="3">
    <field x="3"/>
    <field x="1"/>
    <field x="0"/>
  </rowFields>
  <rowItems count="4">
    <i>
      <x v="2"/>
    </i>
    <i r="1">
      <x v="11"/>
    </i>
    <i r="2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askScore" fld="2" baseField="0" baseItem="0"/>
    <dataField name="TaskScoreAvg" fld="2" subtotal="average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118517-A072-46C3-9C0D-782492C0D6EF}" name="Tabela Dinâmica5" cacheId="55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rowHeaderCaption="Task(User)" colHeaderCaption="Taks">
  <location ref="B3:C3" firstHeaderRow="1" firstDataRow="1" firstDataCol="1"/>
  <pivotFields count="3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ubtotalTop="0" showAll="0" defaultSubtotal="0"/>
  </pivotFields>
  <rowFields count="2">
    <field x="1"/>
    <field x="0"/>
  </rowFields>
  <dataFields count="1">
    <dataField name="Contagem de Difficulty" fld="2" subtotal="count" baseField="0" baseItem="0"/>
  </dataFields>
  <pivotHierarchies count="3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Média PostTalkScore"/>
    <pivotHierarchy dragToData="1"/>
    <pivotHierarchy dragToData="1"/>
    <pivotHierarchy dragToData="1"/>
  </pivotHierarchies>
  <pivotTableStyleInfo name="PivotStyleMedium9" showRowHeaders="1" showColHeaders="1" showRowStripes="0" showColStripes="0" showLastColumn="1"/>
  <rowHierarchiesUsage count="2">
    <rowHierarchyUsage hierarchyUsage="22"/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usabilitytest]"/>
        <x15:activeTabTopLevelEntity name="[tbl_posttalk_score]"/>
        <x15:activeTabTopLevelEntity name="[tbl_observerscript_analysi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D4C9B3-B3CB-4B84-A972-3AE272BEA286}" name="tbl_observerguide" displayName="tbl_observerguide" ref="B3:C4" totalsRowShown="0">
  <autoFilter ref="B3:C4" xr:uid="{1FD4C9B3-B3CB-4B84-A972-3AE272BEA286}"/>
  <tableColumns count="2">
    <tableColumn id="1" xr3:uid="{B89B9D76-9CE1-4E1A-A132-53731A204D73}" name="StepID "/>
    <tableColumn id="2" xr3:uid="{FFD008C0-DEAD-4389-A4B9-89934966BAF8}" name="Completion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D91B0-8C3B-4697-B32B-6B0D6E5B5B84}" name="tbl_usabilitytest" displayName="tbl_usabilitytest" ref="B3:E4" insertRow="1" totalsRowShown="0">
  <autoFilter ref="B3:E4" xr:uid="{68BD91B0-8C3B-4697-B32B-6B0D6E5B5B84}"/>
  <tableColumns count="4">
    <tableColumn id="1" xr3:uid="{D86D09F5-8203-4811-A23B-A320E1C9A90D}" name="UserID"/>
    <tableColumn id="2" xr3:uid="{21EC9B49-B5C5-40C3-9545-098C383C133B}" name="TaskID"/>
    <tableColumn id="3" xr3:uid="{DD98F988-72C2-4B86-9B5C-7EA36E1A957D}" name="Answer "/>
    <tableColumn id="4" xr3:uid="{1C69BA4B-574E-4544-A042-ADC40702F9DF}" name="Difficulty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E0A5D26-57AD-4F2D-8F39-4475F7609578}" name="tbl_observerscript_observations" displayName="tbl_observerscript_observations" ref="B3:C4" insertRow="1" totalsRowShown="0">
  <autoFilter ref="B3:C4" xr:uid="{9E0A5D26-57AD-4F2D-8F39-4475F7609578}"/>
  <tableColumns count="2">
    <tableColumn id="1" xr3:uid="{3D608D29-2F1F-4D43-8CEE-221B3A4AC18D}" name="UserID"/>
    <tableColumn id="2" xr3:uid="{6340CE59-1AD0-473B-9601-FDA33A1C6D60}" name="Observation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2D2658-E87C-4114-8F32-5A4D570DADB3}" name="tbl_observerscript_analysis" displayName="tbl_observerscript_analysis" ref="E3:M4" insertRow="1" totalsRowShown="0">
  <autoFilter ref="E3:M4" xr:uid="{A02D2658-E87C-4114-8F32-5A4D570DADB3}"/>
  <tableColumns count="9">
    <tableColumn id="1" xr3:uid="{11AA7E65-96A3-404B-B841-0E56BBD4B5B4}" name="UserID"/>
    <tableColumn id="2" xr3:uid="{78245079-FA62-4B6A-B05A-B8E1B8B539D3}" name="TaskID"/>
    <tableColumn id="3" xr3:uid="{79F8EFF3-F07D-4F61-9A73-E82317909C96}" name="Completion"/>
    <tableColumn id="4" xr3:uid="{5262DFA3-E9D7-482F-977D-9BEBBD57DA2E}" name="Is Correct"/>
    <tableColumn id="5" xr3:uid="{D38681B6-8031-435F-9789-114EC7D83510}" name="Time to completion" dataDxfId="3"/>
    <tableColumn id="6" xr3:uid="{72DA16BA-A085-4AE9-ABA0-63E2BDE1535C}" name="Was lost"/>
    <tableColumn id="7" xr3:uid="{4FBE587D-FF27-4910-8F51-E9170C1DC414}" name="Needed help"/>
    <tableColumn id="8" xr3:uid="{BE76D1EC-6CCA-465E-8691-5485954AE888}" name="wich help" dataDxfId="2"/>
    <tableColumn id="9" xr3:uid="{197E4A4C-15C7-4B0F-B4F3-EBB139C2FC50}" name="observed dificulty" dataDxfId="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8CD9250-37AD-4FC6-8164-0B1F56BA2CA4}" name="tbl_posttalk_info" displayName="tbl_posttalk_info" ref="B3:H4" insertRow="1" totalsRowShown="0">
  <autoFilter ref="B3:H4" xr:uid="{68CD9250-37AD-4FC6-8164-0B1F56BA2CA4}"/>
  <tableColumns count="7">
    <tableColumn id="1" xr3:uid="{72696C32-BA42-4A96-A9E5-056E8BB42918}" name="UserID"/>
    <tableColumn id="2" xr3:uid="{06216560-1650-4573-840E-AB250E19A200}" name="Comments"/>
    <tableColumn id="3" xr3:uid="{7A9F0E32-E3C7-4DA5-9971-238B49864D54}" name="Gender"/>
    <tableColumn id="4" xr3:uid="{DD9E2150-C18A-4AA5-B1D5-65FA4002D90F}" name="Age"/>
    <tableColumn id="5" xr3:uid="{5F9687F2-3E6B-42CE-A8C5-EB2114626A68}" name="Profession"/>
    <tableColumn id="6" xr3:uid="{C32A46A5-2813-433F-B17A-CB995A38D68F}" name="Previous experience"/>
    <tableColumn id="7" xr3:uid="{2A827D0B-0859-4563-8BF6-E107F4A31A57}" name="Observations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BC4539-E8A1-41B1-971D-ABC174EAC51E}" name="tbl_posttalk_score" displayName="tbl_posttalk_score" ref="J3:M4" insertRow="1" totalsRowShown="0">
  <autoFilter ref="J3:M4" xr:uid="{21BC4539-E8A1-41B1-971D-ABC174EAC51E}"/>
  <tableColumns count="4">
    <tableColumn id="1" xr3:uid="{3DA2EF13-9865-4172-8740-2345E62275FD}" name="UserID"/>
    <tableColumn id="2" xr3:uid="{00AC2046-ACF8-4783-B4B8-9DC3B822DE53}" name="TaskID"/>
    <tableColumn id="3" xr3:uid="{C1AF09E2-4F55-4C98-8908-034CC980CFC5}" name="TaskScore" dataDxfId="0"/>
    <tableColumn id="4" xr3:uid="{B9647480-5AC2-469C-8217-C83B14A6E3A5}" name="Paridade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CA631-25BC-439F-B34B-ED18C2DA4536}">
  <sheetPr codeName="Folha2"/>
  <dimension ref="A2:B10"/>
  <sheetViews>
    <sheetView zoomScaleNormal="100" workbookViewId="0">
      <selection activeCell="G6" sqref="G6"/>
    </sheetView>
  </sheetViews>
  <sheetFormatPr defaultRowHeight="14.4" x14ac:dyDescent="0.3"/>
  <cols>
    <col min="1" max="1" width="31.109375" bestFit="1" customWidth="1"/>
    <col min="2" max="2" width="18.109375" bestFit="1" customWidth="1"/>
    <col min="3" max="3" width="8.6640625" customWidth="1"/>
    <col min="5" max="5" width="18.44140625" bestFit="1" customWidth="1"/>
  </cols>
  <sheetData>
    <row r="2" spans="1:2" x14ac:dyDescent="0.3">
      <c r="A2" s="10" t="s">
        <v>0</v>
      </c>
      <c r="B2" s="10"/>
    </row>
    <row r="3" spans="1:2" x14ac:dyDescent="0.3">
      <c r="A3" t="s">
        <v>1</v>
      </c>
      <c r="B3">
        <v>1</v>
      </c>
    </row>
    <row r="4" spans="1:2" x14ac:dyDescent="0.3">
      <c r="A4" t="s">
        <v>2</v>
      </c>
      <c r="B4">
        <v>8</v>
      </c>
    </row>
    <row r="9" spans="1:2" x14ac:dyDescent="0.3">
      <c r="A9" s="10" t="s">
        <v>3</v>
      </c>
      <c r="B9" s="10"/>
    </row>
    <row r="10" spans="1:2" x14ac:dyDescent="0.3">
      <c r="A10" t="s">
        <v>4</v>
      </c>
      <c r="B10">
        <v>6</v>
      </c>
    </row>
  </sheetData>
  <mergeCells count="2">
    <mergeCell ref="A2:B2"/>
    <mergeCell ref="A9:B9"/>
  </mergeCells>
  <pageMargins left="0.7" right="0.7" top="0.75" bottom="0.75" header="0.3" footer="0.3"/>
  <pageSetup paperSize="9" orientation="portrait" r:id="rId1"/>
  <headerFooter>
    <oddHeader>&amp;C0º-UsabilityConfig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ddNewUserToAllTables">
                <anchor moveWithCells="1" sizeWithCells="1">
                  <from>
                    <xdr:col>3</xdr:col>
                    <xdr:colOff>7620</xdr:colOff>
                    <xdr:row>2</xdr:row>
                    <xdr:rowOff>0</xdr:rowOff>
                  </from>
                  <to>
                    <xdr:col>4</xdr:col>
                    <xdr:colOff>967740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RefreshAllPivots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906780</xdr:colOff>
                    <xdr:row>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03C0B-BD11-47C5-A8FD-5C519846D8B2}">
  <sheetPr codeName="Folha3"/>
  <dimension ref="A2:C3"/>
  <sheetViews>
    <sheetView workbookViewId="0">
      <selection activeCell="C8" sqref="C8"/>
    </sheetView>
  </sheetViews>
  <sheetFormatPr defaultRowHeight="14.4" x14ac:dyDescent="0.3"/>
  <cols>
    <col min="3" max="3" width="11.5546875" bestFit="1" customWidth="1"/>
    <col min="4" max="4" width="10.44140625" bestFit="1" customWidth="1"/>
  </cols>
  <sheetData>
    <row r="2" spans="1:3" x14ac:dyDescent="0.3">
      <c r="A2" t="s">
        <v>5</v>
      </c>
      <c r="B2" t="s">
        <v>6</v>
      </c>
      <c r="C2" t="s">
        <v>7</v>
      </c>
    </row>
    <row r="3" spans="1:3" x14ac:dyDescent="0.3">
      <c r="B3" t="s">
        <v>8</v>
      </c>
      <c r="C3" s="1" t="s">
        <v>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298A0-6AB6-411D-9A1D-0924A1EB4FBB}">
  <sheetPr codeName="Folha4"/>
  <dimension ref="A2:E3"/>
  <sheetViews>
    <sheetView workbookViewId="0">
      <selection activeCell="F18" sqref="F18"/>
    </sheetView>
  </sheetViews>
  <sheetFormatPr defaultRowHeight="14.4" x14ac:dyDescent="0.3"/>
  <cols>
    <col min="3" max="3" width="11.33203125" bestFit="1" customWidth="1"/>
    <col min="4" max="4" width="9.5546875" bestFit="1" customWidth="1"/>
    <col min="5" max="5" width="25.33203125" bestFit="1" customWidth="1"/>
    <col min="6" max="6" width="25.6640625" bestFit="1" customWidth="1"/>
  </cols>
  <sheetData>
    <row r="2" spans="1:5" x14ac:dyDescent="0.3">
      <c r="A2" t="s">
        <v>5</v>
      </c>
      <c r="B2" t="s">
        <v>6</v>
      </c>
      <c r="C2" t="s">
        <v>6</v>
      </c>
      <c r="D2" t="s">
        <v>10</v>
      </c>
      <c r="E2" t="s">
        <v>11</v>
      </c>
    </row>
    <row r="3" spans="1:5" x14ac:dyDescent="0.3">
      <c r="B3" t="s">
        <v>12</v>
      </c>
      <c r="C3" t="s">
        <v>13</v>
      </c>
      <c r="D3" t="s">
        <v>14</v>
      </c>
      <c r="E3" t="s">
        <v>15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9373-1372-430B-8042-DF9E708B8666}">
  <sheetPr codeName="Folha5"/>
  <dimension ref="A2:M94"/>
  <sheetViews>
    <sheetView workbookViewId="0">
      <selection activeCell="C7" sqref="C7"/>
    </sheetView>
  </sheetViews>
  <sheetFormatPr defaultRowHeight="14.4" x14ac:dyDescent="0.3"/>
  <cols>
    <col min="3" max="3" width="13.33203125" customWidth="1"/>
    <col min="4" max="4" width="1" customWidth="1"/>
    <col min="7" max="7" width="14" bestFit="1" customWidth="1"/>
    <col min="8" max="8" width="19" bestFit="1" customWidth="1"/>
    <col min="9" max="9" width="15.5546875" customWidth="1"/>
    <col min="10" max="10" width="19" bestFit="1" customWidth="1"/>
    <col min="11" max="11" width="26.44140625" bestFit="1" customWidth="1"/>
    <col min="12" max="12" width="20.33203125" bestFit="1" customWidth="1"/>
    <col min="13" max="13" width="26.44140625" bestFit="1" customWidth="1"/>
    <col min="14" max="14" width="11.109375" bestFit="1" customWidth="1"/>
  </cols>
  <sheetData>
    <row r="2" spans="1:13" x14ac:dyDescent="0.3">
      <c r="A2" t="s">
        <v>5</v>
      </c>
      <c r="B2" t="s">
        <v>6</v>
      </c>
      <c r="C2" t="s">
        <v>10</v>
      </c>
      <c r="E2" t="s">
        <v>6</v>
      </c>
      <c r="F2" t="s">
        <v>6</v>
      </c>
      <c r="G2" t="s">
        <v>7</v>
      </c>
      <c r="H2" t="s">
        <v>7</v>
      </c>
      <c r="I2" t="s">
        <v>16</v>
      </c>
      <c r="J2" t="s">
        <v>17</v>
      </c>
      <c r="K2" t="s">
        <v>7</v>
      </c>
      <c r="L2" t="s">
        <v>18</v>
      </c>
      <c r="M2" t="s">
        <v>19</v>
      </c>
    </row>
    <row r="3" spans="1:13" x14ac:dyDescent="0.3">
      <c r="B3" t="s">
        <v>12</v>
      </c>
      <c r="C3" t="s">
        <v>20</v>
      </c>
      <c r="E3" t="s">
        <v>12</v>
      </c>
      <c r="F3" t="s">
        <v>13</v>
      </c>
      <c r="G3" s="1" t="s">
        <v>9</v>
      </c>
      <c r="H3" s="2" t="s">
        <v>21</v>
      </c>
      <c r="I3" s="2" t="s">
        <v>22</v>
      </c>
      <c r="J3" t="s">
        <v>23</v>
      </c>
      <c r="K3" t="s">
        <v>24</v>
      </c>
      <c r="L3" t="s">
        <v>25</v>
      </c>
      <c r="M3" t="s">
        <v>26</v>
      </c>
    </row>
    <row r="4" spans="1:13" x14ac:dyDescent="0.3">
      <c r="G4" s="1"/>
      <c r="H4" s="2"/>
      <c r="I4" s="9"/>
    </row>
    <row r="5" spans="1:13" x14ac:dyDescent="0.3">
      <c r="G5" s="1"/>
      <c r="H5" s="2"/>
      <c r="I5" s="9"/>
    </row>
    <row r="6" spans="1:13" x14ac:dyDescent="0.3">
      <c r="G6" s="1"/>
      <c r="H6" s="2"/>
      <c r="I6" s="9"/>
    </row>
    <row r="7" spans="1:13" x14ac:dyDescent="0.3">
      <c r="G7" s="1"/>
      <c r="H7" s="2"/>
      <c r="I7" s="9"/>
    </row>
    <row r="8" spans="1:13" x14ac:dyDescent="0.3">
      <c r="G8" s="1"/>
      <c r="H8" s="2"/>
      <c r="I8" s="9"/>
    </row>
    <row r="9" spans="1:13" x14ac:dyDescent="0.3">
      <c r="G9" s="1"/>
      <c r="H9" s="2"/>
      <c r="I9" s="9"/>
    </row>
    <row r="10" spans="1:13" x14ac:dyDescent="0.3">
      <c r="G10" s="1"/>
      <c r="H10" s="2"/>
      <c r="I10" s="9"/>
    </row>
    <row r="11" spans="1:13" x14ac:dyDescent="0.3">
      <c r="G11" s="1"/>
      <c r="H11" s="2"/>
      <c r="I11" s="9"/>
    </row>
    <row r="12" spans="1:13" x14ac:dyDescent="0.3">
      <c r="G12" s="1"/>
      <c r="H12" s="2"/>
      <c r="I12" s="9"/>
    </row>
    <row r="13" spans="1:13" x14ac:dyDescent="0.3">
      <c r="G13" s="1"/>
      <c r="H13" s="2"/>
      <c r="I13" s="9"/>
    </row>
    <row r="14" spans="1:13" x14ac:dyDescent="0.3">
      <c r="G14" s="1"/>
      <c r="H14" s="2"/>
      <c r="I14" s="9"/>
    </row>
    <row r="15" spans="1:13" x14ac:dyDescent="0.3">
      <c r="G15" s="1"/>
      <c r="H15" s="2"/>
      <c r="I15" s="9"/>
    </row>
    <row r="16" spans="1:13" x14ac:dyDescent="0.3">
      <c r="G16" s="1"/>
      <c r="H16" s="2"/>
      <c r="I16" s="9"/>
    </row>
    <row r="17" spans="7:9" x14ac:dyDescent="0.3">
      <c r="G17" s="1"/>
      <c r="H17" s="2"/>
      <c r="I17" s="8"/>
    </row>
    <row r="18" spans="7:9" x14ac:dyDescent="0.3">
      <c r="G18" s="1"/>
      <c r="H18" s="2"/>
      <c r="I18" s="8"/>
    </row>
    <row r="19" spans="7:9" x14ac:dyDescent="0.3">
      <c r="G19" s="1"/>
      <c r="H19" s="2"/>
      <c r="I19" s="8"/>
    </row>
    <row r="20" spans="7:9" x14ac:dyDescent="0.3">
      <c r="G20" s="1"/>
      <c r="H20" s="2"/>
      <c r="I20" s="8"/>
    </row>
    <row r="21" spans="7:9" x14ac:dyDescent="0.3">
      <c r="G21" s="1"/>
      <c r="H21" s="2"/>
      <c r="I21" s="8"/>
    </row>
    <row r="22" spans="7:9" x14ac:dyDescent="0.3">
      <c r="G22" s="1"/>
      <c r="H22" s="2"/>
      <c r="I22" s="8"/>
    </row>
    <row r="23" spans="7:9" x14ac:dyDescent="0.3">
      <c r="G23" s="1"/>
      <c r="H23" s="2"/>
      <c r="I23" s="8"/>
    </row>
    <row r="24" spans="7:9" x14ac:dyDescent="0.3">
      <c r="G24" s="1"/>
      <c r="H24" s="2"/>
      <c r="I24" s="8"/>
    </row>
    <row r="25" spans="7:9" x14ac:dyDescent="0.3">
      <c r="G25" s="1"/>
      <c r="H25" s="2"/>
      <c r="I25" s="8"/>
    </row>
    <row r="26" spans="7:9" x14ac:dyDescent="0.3">
      <c r="G26" s="1"/>
      <c r="H26" s="2"/>
      <c r="I26" s="8"/>
    </row>
    <row r="27" spans="7:9" x14ac:dyDescent="0.3">
      <c r="G27" s="1"/>
      <c r="H27" s="2"/>
      <c r="I27" s="8"/>
    </row>
    <row r="28" spans="7:9" x14ac:dyDescent="0.3">
      <c r="G28" s="1"/>
      <c r="H28" s="2"/>
      <c r="I28" s="8"/>
    </row>
    <row r="29" spans="7:9" x14ac:dyDescent="0.3">
      <c r="I29" s="5"/>
    </row>
    <row r="30" spans="7:9" x14ac:dyDescent="0.3">
      <c r="I30" s="5"/>
    </row>
    <row r="31" spans="7:9" x14ac:dyDescent="0.3">
      <c r="I31" s="5"/>
    </row>
    <row r="32" spans="7:9" x14ac:dyDescent="0.3">
      <c r="I32" s="5"/>
    </row>
    <row r="33" spans="9:9" x14ac:dyDescent="0.3">
      <c r="I33" s="5"/>
    </row>
    <row r="34" spans="9:9" x14ac:dyDescent="0.3">
      <c r="I34" s="5"/>
    </row>
    <row r="35" spans="9:9" x14ac:dyDescent="0.3">
      <c r="I35" s="5"/>
    </row>
    <row r="36" spans="9:9" x14ac:dyDescent="0.3">
      <c r="I36" s="5"/>
    </row>
    <row r="37" spans="9:9" x14ac:dyDescent="0.3">
      <c r="I37" s="5"/>
    </row>
    <row r="38" spans="9:9" x14ac:dyDescent="0.3">
      <c r="I38" s="5"/>
    </row>
    <row r="39" spans="9:9" x14ac:dyDescent="0.3">
      <c r="I39" s="5"/>
    </row>
    <row r="40" spans="9:9" x14ac:dyDescent="0.3">
      <c r="I40" s="5"/>
    </row>
    <row r="41" spans="9:9" x14ac:dyDescent="0.3">
      <c r="I41" s="5"/>
    </row>
    <row r="42" spans="9:9" x14ac:dyDescent="0.3">
      <c r="I42" s="5"/>
    </row>
    <row r="43" spans="9:9" x14ac:dyDescent="0.3">
      <c r="I43" s="5"/>
    </row>
    <row r="44" spans="9:9" x14ac:dyDescent="0.3">
      <c r="I44" s="5"/>
    </row>
    <row r="45" spans="9:9" x14ac:dyDescent="0.3">
      <c r="I45" s="5"/>
    </row>
    <row r="46" spans="9:9" x14ac:dyDescent="0.3">
      <c r="I46" s="5"/>
    </row>
    <row r="47" spans="9:9" x14ac:dyDescent="0.3">
      <c r="I47" s="5"/>
    </row>
    <row r="48" spans="9:9" x14ac:dyDescent="0.3">
      <c r="I48" s="5"/>
    </row>
    <row r="49" spans="9:9" x14ac:dyDescent="0.3">
      <c r="I49" s="5"/>
    </row>
    <row r="50" spans="9:9" x14ac:dyDescent="0.3">
      <c r="I50" s="5"/>
    </row>
    <row r="51" spans="9:9" x14ac:dyDescent="0.3">
      <c r="I51" s="5"/>
    </row>
    <row r="52" spans="9:9" x14ac:dyDescent="0.3">
      <c r="I52" s="5"/>
    </row>
    <row r="53" spans="9:9" x14ac:dyDescent="0.3">
      <c r="I53" s="5"/>
    </row>
    <row r="54" spans="9:9" x14ac:dyDescent="0.3">
      <c r="I54" s="5"/>
    </row>
    <row r="55" spans="9:9" x14ac:dyDescent="0.3">
      <c r="I55" s="5"/>
    </row>
    <row r="56" spans="9:9" x14ac:dyDescent="0.3">
      <c r="I56" s="5"/>
    </row>
    <row r="57" spans="9:9" x14ac:dyDescent="0.3">
      <c r="I57" s="5"/>
    </row>
    <row r="58" spans="9:9" x14ac:dyDescent="0.3">
      <c r="I58" s="5"/>
    </row>
    <row r="59" spans="9:9" x14ac:dyDescent="0.3">
      <c r="I59" s="5"/>
    </row>
    <row r="60" spans="9:9" x14ac:dyDescent="0.3">
      <c r="I60" s="5"/>
    </row>
    <row r="61" spans="9:9" x14ac:dyDescent="0.3">
      <c r="I61" s="5"/>
    </row>
    <row r="62" spans="9:9" x14ac:dyDescent="0.3">
      <c r="I62" s="5"/>
    </row>
    <row r="63" spans="9:9" x14ac:dyDescent="0.3">
      <c r="I63" s="5"/>
    </row>
    <row r="64" spans="9:9" x14ac:dyDescent="0.3">
      <c r="I64" s="5"/>
    </row>
    <row r="65" spans="9:9" x14ac:dyDescent="0.3">
      <c r="I65" s="5"/>
    </row>
    <row r="66" spans="9:9" x14ac:dyDescent="0.3">
      <c r="I66" s="5"/>
    </row>
    <row r="67" spans="9:9" x14ac:dyDescent="0.3">
      <c r="I67" s="5"/>
    </row>
    <row r="68" spans="9:9" x14ac:dyDescent="0.3">
      <c r="I68" s="5"/>
    </row>
    <row r="69" spans="9:9" x14ac:dyDescent="0.3">
      <c r="I69" s="5"/>
    </row>
    <row r="70" spans="9:9" x14ac:dyDescent="0.3">
      <c r="I70" s="5"/>
    </row>
    <row r="71" spans="9:9" x14ac:dyDescent="0.3">
      <c r="I71" s="5"/>
    </row>
    <row r="72" spans="9:9" x14ac:dyDescent="0.3">
      <c r="I72" s="5"/>
    </row>
    <row r="73" spans="9:9" x14ac:dyDescent="0.3">
      <c r="I73" s="5"/>
    </row>
    <row r="74" spans="9:9" x14ac:dyDescent="0.3">
      <c r="I74" s="5"/>
    </row>
    <row r="75" spans="9:9" x14ac:dyDescent="0.3">
      <c r="I75" s="5"/>
    </row>
    <row r="76" spans="9:9" x14ac:dyDescent="0.3">
      <c r="I76" s="5"/>
    </row>
    <row r="77" spans="9:9" x14ac:dyDescent="0.3">
      <c r="I77" s="5"/>
    </row>
    <row r="78" spans="9:9" x14ac:dyDescent="0.3">
      <c r="I78" s="5"/>
    </row>
    <row r="79" spans="9:9" x14ac:dyDescent="0.3">
      <c r="I79" s="5"/>
    </row>
    <row r="80" spans="9:9" x14ac:dyDescent="0.3">
      <c r="I80" s="5"/>
    </row>
    <row r="81" spans="9:9" x14ac:dyDescent="0.3">
      <c r="I81" s="5"/>
    </row>
    <row r="82" spans="9:9" x14ac:dyDescent="0.3">
      <c r="I82" s="5"/>
    </row>
    <row r="83" spans="9:9" x14ac:dyDescent="0.3">
      <c r="I83" s="5"/>
    </row>
    <row r="84" spans="9:9" x14ac:dyDescent="0.3">
      <c r="I84" s="5"/>
    </row>
    <row r="85" spans="9:9" x14ac:dyDescent="0.3">
      <c r="I85" s="5"/>
    </row>
    <row r="86" spans="9:9" x14ac:dyDescent="0.3">
      <c r="I86" s="5"/>
    </row>
    <row r="87" spans="9:9" x14ac:dyDescent="0.3">
      <c r="I87" s="5"/>
    </row>
    <row r="88" spans="9:9" x14ac:dyDescent="0.3">
      <c r="I88" s="5"/>
    </row>
    <row r="89" spans="9:9" x14ac:dyDescent="0.3">
      <c r="I89" s="5"/>
    </row>
    <row r="90" spans="9:9" x14ac:dyDescent="0.3">
      <c r="I90" s="5"/>
    </row>
    <row r="91" spans="9:9" x14ac:dyDescent="0.3">
      <c r="I91" s="5"/>
    </row>
    <row r="92" spans="9:9" x14ac:dyDescent="0.3">
      <c r="I92" s="5"/>
    </row>
    <row r="93" spans="9:9" x14ac:dyDescent="0.3">
      <c r="I93" s="5"/>
    </row>
    <row r="94" spans="9:9" x14ac:dyDescent="0.3">
      <c r="I94" s="5"/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F8940-15ED-411E-A0D0-9A694F16A368}">
  <sheetPr codeName="Folha6"/>
  <dimension ref="A2:M17"/>
  <sheetViews>
    <sheetView topLeftCell="D1" workbookViewId="0">
      <selection activeCell="J10" sqref="J10"/>
    </sheetView>
  </sheetViews>
  <sheetFormatPr defaultRowHeight="14.4" x14ac:dyDescent="0.3"/>
  <cols>
    <col min="3" max="3" width="11.109375" customWidth="1"/>
    <col min="4" max="4" width="20.33203125" bestFit="1" customWidth="1"/>
    <col min="5" max="5" width="19.6640625" bestFit="1" customWidth="1"/>
    <col min="6" max="6" width="11.109375" customWidth="1"/>
    <col min="7" max="7" width="21.33203125" bestFit="1" customWidth="1"/>
    <col min="8" max="8" width="13.33203125" customWidth="1"/>
    <col min="9" max="9" width="2.88671875" customWidth="1"/>
    <col min="11" max="11" width="11.5546875" bestFit="1" customWidth="1"/>
    <col min="12" max="12" width="37.88671875" bestFit="1" customWidth="1"/>
  </cols>
  <sheetData>
    <row r="2" spans="1:13" x14ac:dyDescent="0.3">
      <c r="A2" t="s">
        <v>5</v>
      </c>
      <c r="B2" t="s">
        <v>6</v>
      </c>
      <c r="C2" t="s">
        <v>10</v>
      </c>
      <c r="D2" t="s">
        <v>27</v>
      </c>
      <c r="E2" t="s">
        <v>6</v>
      </c>
      <c r="F2" t="s">
        <v>10</v>
      </c>
      <c r="G2" t="s">
        <v>28</v>
      </c>
      <c r="H2" t="s">
        <v>10</v>
      </c>
      <c r="J2" t="s">
        <v>6</v>
      </c>
      <c r="K2" t="s">
        <v>6</v>
      </c>
      <c r="L2" t="s">
        <v>29</v>
      </c>
    </row>
    <row r="3" spans="1:13" ht="15" thickBot="1" x14ac:dyDescent="0.35">
      <c r="B3" t="s">
        <v>12</v>
      </c>
      <c r="C3" t="s">
        <v>30</v>
      </c>
      <c r="D3" t="s">
        <v>31</v>
      </c>
      <c r="E3" t="s">
        <v>32</v>
      </c>
      <c r="F3" t="s">
        <v>33</v>
      </c>
      <c r="G3" t="s">
        <v>34</v>
      </c>
      <c r="H3" t="s">
        <v>20</v>
      </c>
      <c r="J3" t="s">
        <v>12</v>
      </c>
      <c r="K3" t="s">
        <v>13</v>
      </c>
      <c r="L3" t="s">
        <v>35</v>
      </c>
      <c r="M3" t="s">
        <v>36</v>
      </c>
    </row>
    <row r="4" spans="1:13" ht="15" thickBot="1" x14ac:dyDescent="0.35">
      <c r="L4" s="7"/>
    </row>
    <row r="5" spans="1:13" x14ac:dyDescent="0.3">
      <c r="L5" s="6"/>
    </row>
    <row r="6" spans="1:13" x14ac:dyDescent="0.3">
      <c r="L6" s="6"/>
    </row>
    <row r="7" spans="1:13" x14ac:dyDescent="0.3">
      <c r="L7" s="6"/>
    </row>
    <row r="8" spans="1:13" x14ac:dyDescent="0.3">
      <c r="L8" s="6"/>
    </row>
    <row r="9" spans="1:13" x14ac:dyDescent="0.3">
      <c r="L9" s="6"/>
    </row>
    <row r="10" spans="1:13" x14ac:dyDescent="0.3">
      <c r="L10" s="6"/>
    </row>
    <row r="11" spans="1:13" x14ac:dyDescent="0.3">
      <c r="L11" s="6"/>
    </row>
    <row r="12" spans="1:13" x14ac:dyDescent="0.3">
      <c r="L12" s="6"/>
    </row>
    <row r="13" spans="1:13" x14ac:dyDescent="0.3">
      <c r="L13" s="6"/>
    </row>
    <row r="14" spans="1:13" x14ac:dyDescent="0.3">
      <c r="L14" s="6"/>
    </row>
    <row r="15" spans="1:13" x14ac:dyDescent="0.3">
      <c r="L15" s="6"/>
    </row>
    <row r="16" spans="1:13" x14ac:dyDescent="0.3">
      <c r="L16" s="6"/>
    </row>
    <row r="17" spans="12:12" x14ac:dyDescent="0.3">
      <c r="L17" s="6"/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6603F-0913-4597-AFC2-C7E4BF830EA2}">
  <sheetPr codeName="Folha8"/>
  <dimension ref="B3:J7"/>
  <sheetViews>
    <sheetView tabSelected="1" workbookViewId="0">
      <selection activeCell="K9" sqref="K9"/>
    </sheetView>
  </sheetViews>
  <sheetFormatPr defaultRowHeight="14.4" x14ac:dyDescent="0.3"/>
  <cols>
    <col min="1" max="1" width="10" bestFit="1" customWidth="1"/>
    <col min="2" max="2" width="12.44140625" bestFit="1" customWidth="1"/>
    <col min="3" max="4" width="21.6640625" bestFit="1" customWidth="1"/>
    <col min="5" max="5" width="2.33203125" customWidth="1"/>
    <col min="6" max="6" width="17.88671875" bestFit="1" customWidth="1"/>
    <col min="7" max="7" width="18" bestFit="1" customWidth="1"/>
    <col min="8" max="8" width="13" bestFit="1" customWidth="1"/>
    <col min="9" max="9" width="16.6640625" bestFit="1" customWidth="1"/>
    <col min="10" max="10" width="15.6640625" bestFit="1" customWidth="1"/>
    <col min="11" max="11" width="19.33203125" bestFit="1" customWidth="1"/>
    <col min="12" max="12" width="20.33203125" bestFit="1" customWidth="1"/>
    <col min="13" max="13" width="14.33203125" bestFit="1" customWidth="1"/>
    <col min="14" max="14" width="21.33203125" bestFit="1" customWidth="1"/>
    <col min="15" max="15" width="20.33203125" bestFit="1" customWidth="1"/>
    <col min="16" max="16" width="23.88671875" bestFit="1" customWidth="1"/>
    <col min="17" max="17" width="24.88671875" bestFit="1" customWidth="1"/>
    <col min="18" max="19" width="18.5546875" bestFit="1" customWidth="1"/>
    <col min="20" max="20" width="16.6640625" bestFit="1" customWidth="1"/>
    <col min="21" max="21" width="15.6640625" bestFit="1" customWidth="1"/>
    <col min="22" max="22" width="19.33203125" bestFit="1" customWidth="1"/>
    <col min="23" max="24" width="23.109375" bestFit="1" customWidth="1"/>
    <col min="25" max="25" width="21.33203125" bestFit="1" customWidth="1"/>
    <col min="26" max="26" width="20.33203125" bestFit="1" customWidth="1"/>
    <col min="27" max="27" width="23.88671875" bestFit="1" customWidth="1"/>
    <col min="28" max="28" width="23.109375" bestFit="1" customWidth="1"/>
    <col min="29" max="29" width="21.33203125" bestFit="1" customWidth="1"/>
    <col min="30" max="30" width="20.33203125" bestFit="1" customWidth="1"/>
    <col min="31" max="31" width="23.88671875" bestFit="1" customWidth="1"/>
    <col min="32" max="32" width="21.33203125" bestFit="1" customWidth="1"/>
    <col min="33" max="33" width="20.33203125" bestFit="1" customWidth="1"/>
    <col min="34" max="34" width="23.88671875" bestFit="1" customWidth="1"/>
    <col min="35" max="35" width="18.6640625" bestFit="1" customWidth="1"/>
    <col min="36" max="36" width="20.33203125" bestFit="1" customWidth="1"/>
    <col min="37" max="37" width="23.88671875" bestFit="1" customWidth="1"/>
    <col min="38" max="39" width="18.6640625" bestFit="1" customWidth="1"/>
  </cols>
  <sheetData>
    <row r="3" spans="2:10" x14ac:dyDescent="0.3">
      <c r="B3" s="3" t="s">
        <v>37</v>
      </c>
      <c r="C3" t="s">
        <v>38</v>
      </c>
      <c r="F3" s="3" t="s">
        <v>39</v>
      </c>
      <c r="G3" t="s">
        <v>40</v>
      </c>
      <c r="H3" t="s">
        <v>43</v>
      </c>
    </row>
    <row r="4" spans="2:10" x14ac:dyDescent="0.3">
      <c r="F4" s="4" t="s">
        <v>44</v>
      </c>
      <c r="G4" s="11"/>
      <c r="H4" s="11"/>
    </row>
    <row r="5" spans="2:10" x14ac:dyDescent="0.3">
      <c r="F5" s="12" t="s">
        <v>44</v>
      </c>
      <c r="G5" s="11"/>
      <c r="H5" s="11"/>
    </row>
    <row r="6" spans="2:10" x14ac:dyDescent="0.3">
      <c r="F6" s="13" t="s">
        <v>44</v>
      </c>
      <c r="G6" s="11"/>
      <c r="H6" s="11"/>
    </row>
    <row r="7" spans="2:10" x14ac:dyDescent="0.3">
      <c r="F7" s="4" t="s">
        <v>41</v>
      </c>
      <c r="G7" s="11"/>
      <c r="H7" s="11"/>
      <c r="I7" t="s">
        <v>42</v>
      </c>
      <c r="J7" t="e">
        <f>(GETPIVOTDATA("TaskScoreAvg",$F$3,"Paridade","Ímpar")-GETPIVOTDATA("TaskScoreAvg",$F$3,"Paridade","Par"))*12.5 + 50</f>
        <v>#REF!</v>
      </c>
    </row>
  </sheetData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RefreshAllPivots">
                <anchor mov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373380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FBF1-9FD5-4C89-85D7-5D376DE04E71}">
  <sheetPr codeName="Folha10"/>
  <dimension ref="A1"/>
  <sheetViews>
    <sheetView workbookViewId="0">
      <selection activeCell="I13" sqref="I13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E0AD84E835BE41814B3CC46BD5AF36" ma:contentTypeVersion="18" ma:contentTypeDescription="Create a new document." ma:contentTypeScope="" ma:versionID="c10a4f2d0e8a63e0be9105b372c202f0">
  <xsd:schema xmlns:xsd="http://www.w3.org/2001/XMLSchema" xmlns:xs="http://www.w3.org/2001/XMLSchema" xmlns:p="http://schemas.microsoft.com/office/2006/metadata/properties" xmlns:ns3="fad517c4-ad21-48db-8d87-673b4dbf478e" xmlns:ns4="b3e20050-da39-4f57-9c9d-696bed6140ef" targetNamespace="http://schemas.microsoft.com/office/2006/metadata/properties" ma:root="true" ma:fieldsID="1c549060a6175016d71184ace579e21a" ns3:_="" ns4:_="">
    <xsd:import namespace="fad517c4-ad21-48db-8d87-673b4dbf478e"/>
    <xsd:import namespace="b3e20050-da39-4f57-9c9d-696bed6140e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d517c4-ad21-48db-8d87-673b4dbf478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description="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description="" ma:indexed="true" ma:internalName="MediaServiceLocation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e20050-da39-4f57-9c9d-696bed6140ef" elementFormDefault="qualified">
    <xsd:import namespace="http://schemas.microsoft.com/office/2006/documentManagement/types"/>
    <xsd:import namespace="http://schemas.microsoft.com/office/infopath/2007/PartnerControls"/>
    <xsd:element name="SharedWithUsers" ma:index="2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ad517c4-ad21-48db-8d87-673b4dbf478e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142025F-9114-45C2-8C73-75E94B3262A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FB4EA2B-66E7-413D-AD92-AD63146380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ad517c4-ad21-48db-8d87-673b4dbf478e"/>
    <ds:schemaRef ds:uri="b3e20050-da39-4f57-9c9d-696bed6140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92BA2ED-8C44-47DE-872E-05A51B924FA6}">
  <ds:schemaRefs>
    <ds:schemaRef ds:uri="http://schemas.microsoft.com/office/2006/metadata/properties"/>
    <ds:schemaRef ds:uri="http://schemas.microsoft.com/office/infopath/2007/PartnerControls"/>
    <ds:schemaRef ds:uri="fad517c4-ad21-48db-8d87-673b4dbf478e"/>
  </ds:schemaRefs>
</ds:datastoreItem>
</file>

<file path=customXml/itemProps4.xml><?xml version="1.0" encoding="utf-8"?>
<ds:datastoreItem xmlns:ds="http://schemas.openxmlformats.org/officeDocument/2006/customXml" ds:itemID="{941CDD10-F2EF-4120-A73C-0283F37C58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7</vt:i4>
      </vt:variant>
      <vt:variant>
        <vt:lpstr>Intervalos com Nome</vt:lpstr>
      </vt:variant>
      <vt:variant>
        <vt:i4>2</vt:i4>
      </vt:variant>
    </vt:vector>
  </HeadingPairs>
  <TitlesOfParts>
    <vt:vector size="9" baseType="lpstr">
      <vt:lpstr>0º-UsabilityConfig</vt:lpstr>
      <vt:lpstr>1º-ObserverGuide</vt:lpstr>
      <vt:lpstr>2º-Usability Test</vt:lpstr>
      <vt:lpstr>2º-ObserverScript</vt:lpstr>
      <vt:lpstr>3º-Post Task Questionnaire</vt:lpstr>
      <vt:lpstr>4º-Stats</vt:lpstr>
      <vt:lpstr>4º-Demo</vt:lpstr>
      <vt:lpstr>TasksNumber</vt:lpstr>
      <vt:lpstr>UsersNumber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</dc:creator>
  <cp:keywords/>
  <dc:description/>
  <cp:lastModifiedBy>Luís Diogo</cp:lastModifiedBy>
  <cp:revision/>
  <dcterms:created xsi:type="dcterms:W3CDTF">2025-05-15T19:22:00Z</dcterms:created>
  <dcterms:modified xsi:type="dcterms:W3CDTF">2025-05-20T11:51:31Z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0x010100E8E0AD84E835BE41814B3CC46BD5AF36</vt:lpwstr>
  </property>
</Properties>
</file>